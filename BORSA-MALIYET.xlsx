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NYO" sheetId="1" r:id="rId4"/>
  </sheets>
  <definedNames/>
  <calcPr/>
</workbook>
</file>

<file path=xl/sharedStrings.xml><?xml version="1.0" encoding="utf-8"?>
<sst xmlns="http://schemas.openxmlformats.org/spreadsheetml/2006/main" count="61" uniqueCount="24">
  <si>
    <t>HISSE KARTI</t>
  </si>
  <si>
    <t>GRNYO</t>
  </si>
  <si>
    <t>KOMİSYON ORANI</t>
  </si>
  <si>
    <t>DEĞERLEME YÖNTEMİ</t>
  </si>
  <si>
    <t>ORTALAMA MALİYET</t>
  </si>
  <si>
    <t>TARİH</t>
  </si>
  <si>
    <t>AÇIKLAMA</t>
  </si>
  <si>
    <t>GELEN</t>
  </si>
  <si>
    <t>ÇIKAN</t>
  </si>
  <si>
    <t>KALAN</t>
  </si>
  <si>
    <t>MİKTAR</t>
  </si>
  <si>
    <t>FİYAT</t>
  </si>
  <si>
    <t>TUTAR</t>
  </si>
  <si>
    <t>PSİKOLOJİK MALİYET</t>
  </si>
  <si>
    <t>KOMİSYON</t>
  </si>
  <si>
    <t>ALIŞ</t>
  </si>
  <si>
    <t>SATIŞ</t>
  </si>
  <si>
    <t>İŞLEM TÜRÜ</t>
  </si>
  <si>
    <t>toplam</t>
  </si>
  <si>
    <t>ALIŞLARIN MALİYETİ</t>
  </si>
  <si>
    <t>ANLIK FİYAT</t>
  </si>
  <si>
    <t>KOMISYON</t>
  </si>
  <si>
    <t>KAR/ZARAR</t>
  </si>
  <si>
    <t>KAR/ZARAR ORANI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</si>
</sst>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#,##0.00&quot;TL&quot;"/>
    <numFmt numFmtId="166" formatCode="d.m.yyyy"/>
    <numFmt numFmtId="167" formatCode="m/d/yyyy h:mm:ss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1.0"/>
      <color rgb="FF1F497D"/>
      <name val="Calibri"/>
    </font>
    <font>
      <sz val="11.0"/>
      <color rgb="FFFF0000"/>
      <name val="Calibri"/>
    </font>
    <font>
      <sz val="11.0"/>
      <color rgb="FF9C0006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1" fillId="0" fontId="3" numFmtId="10" xfId="0" applyAlignment="1" applyBorder="1" applyFont="1" applyNumberForma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7" fillId="0" fontId="3" numFmtId="0" xfId="0" applyAlignment="1" applyBorder="1" applyFont="1">
      <alignment horizontal="center" readingOrder="0" shrinkToFit="0" vertical="bottom" wrapText="0"/>
    </xf>
    <xf borderId="5" fillId="0" fontId="3" numFmtId="164" xfId="0" applyAlignment="1" applyBorder="1" applyFont="1" applyNumberFormat="1">
      <alignment horizontal="center" readingOrder="0" shrinkToFit="0" vertical="bottom" wrapText="0"/>
    </xf>
    <xf borderId="8" fillId="0" fontId="3" numFmtId="0" xfId="0" applyAlignment="1" applyBorder="1" applyFont="1">
      <alignment horizontal="center" readingOrder="0" shrinkToFit="0" vertical="bottom" wrapText="0"/>
    </xf>
    <xf borderId="5" fillId="0" fontId="3" numFmtId="165" xfId="0" applyAlignment="1" applyBorder="1" applyFont="1" applyNumberFormat="1">
      <alignment horizontal="center" readingOrder="0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3" numFmtId="4" xfId="0" applyAlignment="1" applyBorder="1" applyFont="1" applyNumberFormat="1">
      <alignment horizontal="center" readingOrder="0" shrinkToFit="0" vertical="bottom" wrapText="0"/>
    </xf>
    <xf borderId="5" fillId="0" fontId="3" numFmtId="166" xfId="0" applyAlignment="1" applyBorder="1" applyFont="1" applyNumberFormat="1">
      <alignment horizontal="center" readingOrder="0" shrinkToFit="0" vertical="bottom" wrapText="0"/>
    </xf>
    <xf borderId="9" fillId="2" fontId="4" numFmtId="0" xfId="0" applyAlignment="1" applyBorder="1" applyFont="1">
      <alignment horizontal="center" readingOrder="0" shrinkToFit="0" vertical="bottom" wrapText="0"/>
    </xf>
    <xf borderId="7" fillId="0" fontId="2" numFmtId="0" xfId="0" applyBorder="1" applyFont="1"/>
    <xf borderId="7" fillId="2" fontId="4" numFmtId="0" xfId="0" applyAlignment="1" applyBorder="1" applyFont="1">
      <alignment horizontal="center" readingOrder="0" shrinkToFit="0" vertical="bottom" wrapText="0"/>
    </xf>
    <xf borderId="7" fillId="2" fontId="4" numFmtId="0" xfId="0" applyAlignment="1" applyBorder="1" applyFont="1">
      <alignment horizontal="center" shrinkToFit="0" vertical="bottom" wrapText="0"/>
    </xf>
    <xf borderId="7" fillId="2" fontId="4" numFmtId="165" xfId="0" applyAlignment="1" applyBorder="1" applyFont="1" applyNumberFormat="1">
      <alignment horizontal="center" readingOrder="0" shrinkToFit="0" vertical="bottom" wrapText="0"/>
    </xf>
    <xf borderId="6" fillId="2" fontId="4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4" fillId="2" fontId="3" numFmtId="0" xfId="0" applyAlignment="1" applyBorder="1" applyFont="1">
      <alignment horizontal="center" readingOrder="0"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3" fontId="6" numFmtId="165" xfId="0" applyAlignment="1" applyFill="1" applyFont="1" applyNumberFormat="1">
      <alignment horizontal="right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3" fontId="6" numFmtId="10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vertical="bottom"/>
    </xf>
    <xf borderId="0" fillId="0" fontId="7" numFmtId="167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</cellXfs>
  <cellStyles count="1">
    <cellStyle xfId="0" name="Normal" builtinId="0"/>
  </cellStyles>
  <dxfs count="3"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2.75"/>
    <col customWidth="1" min="10" max="10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</row>
    <row r="2">
      <c r="A2" s="5" t="s">
        <v>1</v>
      </c>
      <c r="B2" s="3"/>
      <c r="C2" s="6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</row>
    <row r="3">
      <c r="A3" s="1" t="s">
        <v>2</v>
      </c>
      <c r="B3" s="3"/>
      <c r="C3" s="7">
        <v>0.0021262347526587</v>
      </c>
      <c r="D3" s="2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</row>
    <row r="4">
      <c r="A4" s="1" t="s">
        <v>3</v>
      </c>
      <c r="B4" s="3"/>
      <c r="C4" s="8" t="s">
        <v>4</v>
      </c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</row>
    <row r="5">
      <c r="A5" s="9" t="s">
        <v>5</v>
      </c>
      <c r="B5" s="9" t="s">
        <v>6</v>
      </c>
      <c r="C5" s="10" t="s">
        <v>7</v>
      </c>
      <c r="D5" s="2"/>
      <c r="E5" s="3"/>
      <c r="F5" s="11" t="s">
        <v>8</v>
      </c>
      <c r="G5" s="2"/>
      <c r="H5" s="3"/>
      <c r="I5" s="11" t="s">
        <v>9</v>
      </c>
      <c r="J5" s="2"/>
      <c r="K5" s="3"/>
      <c r="L5" s="12"/>
      <c r="M5" s="4"/>
      <c r="N5" s="4"/>
      <c r="O5" s="4"/>
      <c r="P5" s="4"/>
    </row>
    <row r="6">
      <c r="A6" s="13"/>
      <c r="B6" s="13"/>
      <c r="C6" s="14" t="s">
        <v>10</v>
      </c>
      <c r="D6" s="14" t="s">
        <v>11</v>
      </c>
      <c r="E6" s="14" t="s">
        <v>12</v>
      </c>
      <c r="F6" s="14" t="s">
        <v>10</v>
      </c>
      <c r="G6" s="14" t="s">
        <v>11</v>
      </c>
      <c r="H6" s="14" t="s">
        <v>12</v>
      </c>
      <c r="I6" s="14" t="s">
        <v>10</v>
      </c>
      <c r="J6" s="14" t="s">
        <v>13</v>
      </c>
      <c r="K6" s="14" t="s">
        <v>12</v>
      </c>
      <c r="L6" s="12" t="s">
        <v>14</v>
      </c>
      <c r="M6" s="4"/>
      <c r="N6" s="4"/>
      <c r="O6" s="4"/>
      <c r="P6" s="4"/>
    </row>
    <row r="7">
      <c r="A7" s="15">
        <v>42242.0</v>
      </c>
      <c r="B7" s="12" t="s">
        <v>15</v>
      </c>
      <c r="C7" s="16">
        <v>3164.0</v>
      </c>
      <c r="D7" s="17">
        <v>14.23</v>
      </c>
      <c r="E7" s="17">
        <f t="shared" ref="E7:E40" si="1">C7*D7</f>
        <v>45023.72</v>
      </c>
      <c r="F7" s="18"/>
      <c r="G7" s="18"/>
      <c r="H7" s="12">
        <f t="shared" ref="H7:H40" si="2">F7*G7</f>
        <v>0</v>
      </c>
      <c r="I7" s="12">
        <f>C7</f>
        <v>3164</v>
      </c>
      <c r="J7" s="17">
        <f>K7/I7</f>
        <v>14.23</v>
      </c>
      <c r="K7" s="17">
        <f>E7</f>
        <v>45023.72</v>
      </c>
      <c r="L7" s="19">
        <f t="shared" ref="L7:L12" si="3">IF(B7="ALIŞ", IF(E7=0,0,E7*$C$3),IF(H7=0, 0,H7*$C$3))</f>
        <v>95.73099816</v>
      </c>
      <c r="M7" s="4"/>
      <c r="N7" s="4"/>
      <c r="O7" s="4"/>
      <c r="P7" s="4"/>
    </row>
    <row r="8">
      <c r="A8" s="15">
        <v>45946.0</v>
      </c>
      <c r="B8" s="12" t="s">
        <v>15</v>
      </c>
      <c r="C8" s="16">
        <v>8.0</v>
      </c>
      <c r="D8" s="12">
        <v>11.58</v>
      </c>
      <c r="E8" s="12">
        <f t="shared" si="1"/>
        <v>92.64</v>
      </c>
      <c r="F8" s="12">
        <v>0.0</v>
      </c>
      <c r="G8" s="12">
        <v>0.0</v>
      </c>
      <c r="H8" s="12">
        <f t="shared" si="2"/>
        <v>0</v>
      </c>
      <c r="I8" s="12">
        <f t="shared" ref="I8:I40" si="4">IF(B8="ALIŞ", IF(C8=0,0,I7+C8),IF(F8=0, 0,I7-F8))</f>
        <v>3172</v>
      </c>
      <c r="J8" s="17">
        <f t="shared" ref="J8:J40" si="5">MAX(0,IF(I8=0,0,K8/I8))</f>
        <v>14.22331652</v>
      </c>
      <c r="K8" s="17">
        <f t="shared" ref="K8:K40" si="6">IF(B8="ALIŞ", IF(E8=0,0,K7+E8),IF(H8=0, 0,K7-H8))</f>
        <v>45116.36</v>
      </c>
      <c r="L8" s="19">
        <f t="shared" si="3"/>
        <v>0.1969743875</v>
      </c>
      <c r="M8" s="4"/>
      <c r="N8" s="4"/>
      <c r="O8" s="4"/>
      <c r="P8" s="4"/>
    </row>
    <row r="9">
      <c r="A9" s="15">
        <v>41731.0</v>
      </c>
      <c r="B9" s="12" t="s">
        <v>15</v>
      </c>
      <c r="C9" s="16">
        <v>95.0</v>
      </c>
      <c r="D9" s="12">
        <v>11.59</v>
      </c>
      <c r="E9" s="12">
        <f t="shared" si="1"/>
        <v>1101.05</v>
      </c>
      <c r="F9" s="12">
        <v>0.0</v>
      </c>
      <c r="G9" s="12">
        <v>0.0</v>
      </c>
      <c r="H9" s="12">
        <f t="shared" si="2"/>
        <v>0</v>
      </c>
      <c r="I9" s="12">
        <f t="shared" si="4"/>
        <v>3267</v>
      </c>
      <c r="J9" s="17">
        <f t="shared" si="5"/>
        <v>14.14674319</v>
      </c>
      <c r="K9" s="17">
        <f t="shared" si="6"/>
        <v>46217.41</v>
      </c>
      <c r="L9" s="19">
        <f t="shared" si="3"/>
        <v>2.341090774</v>
      </c>
      <c r="M9" s="4"/>
      <c r="N9" s="4"/>
      <c r="O9" s="4"/>
      <c r="P9" s="4"/>
    </row>
    <row r="10">
      <c r="A10" s="15">
        <v>41731.0</v>
      </c>
      <c r="B10" s="12" t="s">
        <v>15</v>
      </c>
      <c r="C10" s="16">
        <v>1579.0</v>
      </c>
      <c r="D10" s="12">
        <v>11.54</v>
      </c>
      <c r="E10" s="12">
        <f t="shared" si="1"/>
        <v>18221.66</v>
      </c>
      <c r="F10" s="12">
        <v>0.0</v>
      </c>
      <c r="G10" s="12">
        <v>0.0</v>
      </c>
      <c r="H10" s="12">
        <f t="shared" si="2"/>
        <v>0</v>
      </c>
      <c r="I10" s="12">
        <f t="shared" si="4"/>
        <v>4846</v>
      </c>
      <c r="J10" s="17">
        <f t="shared" si="5"/>
        <v>13.29737309</v>
      </c>
      <c r="K10" s="17">
        <f t="shared" si="6"/>
        <v>64439.07</v>
      </c>
      <c r="L10" s="19">
        <f t="shared" si="3"/>
        <v>38.74352674</v>
      </c>
      <c r="M10" s="4"/>
      <c r="N10" s="4"/>
      <c r="O10" s="4"/>
      <c r="P10" s="4"/>
    </row>
    <row r="11">
      <c r="A11" s="15">
        <v>45971.0</v>
      </c>
      <c r="B11" s="12" t="s">
        <v>15</v>
      </c>
      <c r="C11" s="16">
        <v>1794.0</v>
      </c>
      <c r="D11" s="12">
        <v>13.9</v>
      </c>
      <c r="E11" s="12">
        <f t="shared" si="1"/>
        <v>24936.6</v>
      </c>
      <c r="F11" s="12">
        <v>0.0</v>
      </c>
      <c r="G11" s="12">
        <v>0.0</v>
      </c>
      <c r="H11" s="12">
        <f t="shared" si="2"/>
        <v>0</v>
      </c>
      <c r="I11" s="12">
        <f t="shared" si="4"/>
        <v>6640</v>
      </c>
      <c r="J11" s="17">
        <f t="shared" si="5"/>
        <v>13.46019127</v>
      </c>
      <c r="K11" s="17">
        <f t="shared" si="6"/>
        <v>89375.67</v>
      </c>
      <c r="L11" s="19">
        <f t="shared" si="3"/>
        <v>53.02106553</v>
      </c>
      <c r="M11" s="4"/>
      <c r="N11" s="4"/>
      <c r="O11" s="4"/>
      <c r="P11" s="4"/>
    </row>
    <row r="12">
      <c r="A12" s="15">
        <v>45983.0</v>
      </c>
      <c r="B12" s="12" t="s">
        <v>16</v>
      </c>
      <c r="C12" s="16">
        <v>0.0</v>
      </c>
      <c r="D12" s="12">
        <v>0.0</v>
      </c>
      <c r="E12" s="12">
        <f t="shared" si="1"/>
        <v>0</v>
      </c>
      <c r="F12" s="12">
        <v>3000.0</v>
      </c>
      <c r="G12" s="12">
        <v>13.5</v>
      </c>
      <c r="H12" s="12">
        <f t="shared" si="2"/>
        <v>40500</v>
      </c>
      <c r="I12" s="12">
        <f t="shared" si="4"/>
        <v>3640</v>
      </c>
      <c r="J12" s="17">
        <f t="shared" si="5"/>
        <v>13.42738187</v>
      </c>
      <c r="K12" s="17">
        <f t="shared" si="6"/>
        <v>48875.67</v>
      </c>
      <c r="L12" s="19">
        <f t="shared" si="3"/>
        <v>86.11250748</v>
      </c>
      <c r="M12" s="4"/>
      <c r="N12" s="4"/>
      <c r="O12" s="4"/>
      <c r="P12" s="4"/>
    </row>
    <row r="13">
      <c r="A13" s="15"/>
      <c r="B13" s="12" t="s">
        <v>17</v>
      </c>
      <c r="C13" s="16">
        <v>0.0</v>
      </c>
      <c r="D13" s="12">
        <v>0.0</v>
      </c>
      <c r="E13" s="12">
        <f t="shared" si="1"/>
        <v>0</v>
      </c>
      <c r="F13" s="12">
        <v>0.0</v>
      </c>
      <c r="G13" s="12">
        <v>0.0</v>
      </c>
      <c r="H13" s="12">
        <f t="shared" si="2"/>
        <v>0</v>
      </c>
      <c r="I13" s="12">
        <f t="shared" si="4"/>
        <v>0</v>
      </c>
      <c r="J13" s="17">
        <f t="shared" si="5"/>
        <v>0</v>
      </c>
      <c r="K13" s="12">
        <f t="shared" si="6"/>
        <v>0</v>
      </c>
      <c r="L13" s="19">
        <f t="shared" ref="L13:L40" si="7">E13*$C$3</f>
        <v>0</v>
      </c>
      <c r="M13" s="4"/>
      <c r="N13" s="4"/>
      <c r="O13" s="4"/>
      <c r="P13" s="4"/>
    </row>
    <row r="14">
      <c r="A14" s="20"/>
      <c r="B14" s="12" t="s">
        <v>17</v>
      </c>
      <c r="C14" s="16">
        <v>0.0</v>
      </c>
      <c r="D14" s="12">
        <v>0.0</v>
      </c>
      <c r="E14" s="12">
        <f t="shared" si="1"/>
        <v>0</v>
      </c>
      <c r="F14" s="12">
        <v>0.0</v>
      </c>
      <c r="G14" s="12">
        <v>0.0</v>
      </c>
      <c r="H14" s="12">
        <f t="shared" si="2"/>
        <v>0</v>
      </c>
      <c r="I14" s="12">
        <f t="shared" si="4"/>
        <v>0</v>
      </c>
      <c r="J14" s="17">
        <f t="shared" si="5"/>
        <v>0</v>
      </c>
      <c r="K14" s="12">
        <f t="shared" si="6"/>
        <v>0</v>
      </c>
      <c r="L14" s="19">
        <f t="shared" si="7"/>
        <v>0</v>
      </c>
      <c r="M14" s="4"/>
      <c r="N14" s="4"/>
      <c r="O14" s="4"/>
      <c r="P14" s="4"/>
    </row>
    <row r="15">
      <c r="A15" s="20"/>
      <c r="B15" s="12" t="s">
        <v>17</v>
      </c>
      <c r="C15" s="16">
        <v>0.0</v>
      </c>
      <c r="D15" s="12">
        <v>0.0</v>
      </c>
      <c r="E15" s="12">
        <f t="shared" si="1"/>
        <v>0</v>
      </c>
      <c r="F15" s="12">
        <v>0.0</v>
      </c>
      <c r="G15" s="12">
        <v>0.0</v>
      </c>
      <c r="H15" s="12">
        <f t="shared" si="2"/>
        <v>0</v>
      </c>
      <c r="I15" s="12">
        <f t="shared" si="4"/>
        <v>0</v>
      </c>
      <c r="J15" s="17">
        <f t="shared" si="5"/>
        <v>0</v>
      </c>
      <c r="K15" s="12">
        <f t="shared" si="6"/>
        <v>0</v>
      </c>
      <c r="L15" s="19">
        <f t="shared" si="7"/>
        <v>0</v>
      </c>
      <c r="M15" s="4"/>
      <c r="N15" s="4"/>
      <c r="O15" s="4"/>
      <c r="P15" s="4"/>
    </row>
    <row r="16">
      <c r="A16" s="20"/>
      <c r="B16" s="12" t="s">
        <v>17</v>
      </c>
      <c r="C16" s="16">
        <v>0.0</v>
      </c>
      <c r="D16" s="12">
        <v>0.0</v>
      </c>
      <c r="E16" s="12">
        <f t="shared" si="1"/>
        <v>0</v>
      </c>
      <c r="F16" s="12">
        <v>0.0</v>
      </c>
      <c r="G16" s="12">
        <v>0.0</v>
      </c>
      <c r="H16" s="12">
        <f t="shared" si="2"/>
        <v>0</v>
      </c>
      <c r="I16" s="12">
        <f t="shared" si="4"/>
        <v>0</v>
      </c>
      <c r="J16" s="17">
        <f t="shared" si="5"/>
        <v>0</v>
      </c>
      <c r="K16" s="12">
        <f t="shared" si="6"/>
        <v>0</v>
      </c>
      <c r="L16" s="19">
        <f t="shared" si="7"/>
        <v>0</v>
      </c>
      <c r="M16" s="4"/>
      <c r="N16" s="4"/>
      <c r="O16" s="4"/>
      <c r="P16" s="4"/>
    </row>
    <row r="17">
      <c r="A17" s="20"/>
      <c r="B17" s="12" t="s">
        <v>17</v>
      </c>
      <c r="C17" s="16">
        <v>0.0</v>
      </c>
      <c r="D17" s="12">
        <v>0.0</v>
      </c>
      <c r="E17" s="12">
        <f t="shared" si="1"/>
        <v>0</v>
      </c>
      <c r="F17" s="12">
        <v>0.0</v>
      </c>
      <c r="G17" s="12">
        <v>0.0</v>
      </c>
      <c r="H17" s="12">
        <f t="shared" si="2"/>
        <v>0</v>
      </c>
      <c r="I17" s="12">
        <f t="shared" si="4"/>
        <v>0</v>
      </c>
      <c r="J17" s="17">
        <f t="shared" si="5"/>
        <v>0</v>
      </c>
      <c r="K17" s="12">
        <f t="shared" si="6"/>
        <v>0</v>
      </c>
      <c r="L17" s="19">
        <f t="shared" si="7"/>
        <v>0</v>
      </c>
      <c r="M17" s="4"/>
      <c r="N17" s="4"/>
      <c r="O17" s="4"/>
      <c r="P17" s="4"/>
    </row>
    <row r="18">
      <c r="A18" s="15"/>
      <c r="B18" s="12" t="s">
        <v>17</v>
      </c>
      <c r="C18" s="16">
        <v>0.0</v>
      </c>
      <c r="D18" s="12">
        <v>0.0</v>
      </c>
      <c r="E18" s="12">
        <f t="shared" si="1"/>
        <v>0</v>
      </c>
      <c r="F18" s="12">
        <v>0.0</v>
      </c>
      <c r="G18" s="12">
        <v>0.0</v>
      </c>
      <c r="H18" s="12">
        <f t="shared" si="2"/>
        <v>0</v>
      </c>
      <c r="I18" s="12">
        <f t="shared" si="4"/>
        <v>0</v>
      </c>
      <c r="J18" s="17">
        <f t="shared" si="5"/>
        <v>0</v>
      </c>
      <c r="K18" s="12">
        <f t="shared" si="6"/>
        <v>0</v>
      </c>
      <c r="L18" s="19">
        <f t="shared" si="7"/>
        <v>0</v>
      </c>
      <c r="M18" s="4"/>
      <c r="N18" s="4"/>
      <c r="O18" s="4"/>
      <c r="P18" s="4"/>
    </row>
    <row r="19">
      <c r="A19" s="15"/>
      <c r="B19" s="12" t="s">
        <v>17</v>
      </c>
      <c r="C19" s="16">
        <v>0.0</v>
      </c>
      <c r="D19" s="12">
        <v>0.0</v>
      </c>
      <c r="E19" s="12">
        <f t="shared" si="1"/>
        <v>0</v>
      </c>
      <c r="F19" s="12">
        <v>0.0</v>
      </c>
      <c r="G19" s="12">
        <v>0.0</v>
      </c>
      <c r="H19" s="12">
        <f t="shared" si="2"/>
        <v>0</v>
      </c>
      <c r="I19" s="12">
        <f t="shared" si="4"/>
        <v>0</v>
      </c>
      <c r="J19" s="17">
        <f t="shared" si="5"/>
        <v>0</v>
      </c>
      <c r="K19" s="12">
        <f t="shared" si="6"/>
        <v>0</v>
      </c>
      <c r="L19" s="19">
        <f t="shared" si="7"/>
        <v>0</v>
      </c>
      <c r="M19" s="4"/>
      <c r="N19" s="4"/>
      <c r="O19" s="4"/>
      <c r="P19" s="4"/>
    </row>
    <row r="20">
      <c r="A20" s="15"/>
      <c r="B20" s="12" t="s">
        <v>17</v>
      </c>
      <c r="C20" s="16">
        <v>0.0</v>
      </c>
      <c r="D20" s="12">
        <v>0.0</v>
      </c>
      <c r="E20" s="12">
        <f t="shared" si="1"/>
        <v>0</v>
      </c>
      <c r="F20" s="12">
        <v>0.0</v>
      </c>
      <c r="G20" s="12">
        <v>0.0</v>
      </c>
      <c r="H20" s="12">
        <f t="shared" si="2"/>
        <v>0</v>
      </c>
      <c r="I20" s="12">
        <f t="shared" si="4"/>
        <v>0</v>
      </c>
      <c r="J20" s="17">
        <f t="shared" si="5"/>
        <v>0</v>
      </c>
      <c r="K20" s="12">
        <f t="shared" si="6"/>
        <v>0</v>
      </c>
      <c r="L20" s="19">
        <f t="shared" si="7"/>
        <v>0</v>
      </c>
      <c r="M20" s="4"/>
      <c r="N20" s="4"/>
      <c r="O20" s="4"/>
      <c r="P20" s="4"/>
    </row>
    <row r="21">
      <c r="A21" s="15"/>
      <c r="B21" s="12" t="s">
        <v>17</v>
      </c>
      <c r="C21" s="16">
        <v>0.0</v>
      </c>
      <c r="D21" s="12">
        <v>0.0</v>
      </c>
      <c r="E21" s="12">
        <f t="shared" si="1"/>
        <v>0</v>
      </c>
      <c r="F21" s="12">
        <v>0.0</v>
      </c>
      <c r="G21" s="12">
        <v>0.0</v>
      </c>
      <c r="H21" s="12">
        <f t="shared" si="2"/>
        <v>0</v>
      </c>
      <c r="I21" s="12">
        <f t="shared" si="4"/>
        <v>0</v>
      </c>
      <c r="J21" s="17">
        <f t="shared" si="5"/>
        <v>0</v>
      </c>
      <c r="K21" s="12">
        <f t="shared" si="6"/>
        <v>0</v>
      </c>
      <c r="L21" s="19">
        <f t="shared" si="7"/>
        <v>0</v>
      </c>
      <c r="M21" s="4"/>
      <c r="N21" s="4"/>
      <c r="O21" s="4"/>
      <c r="P21" s="4"/>
    </row>
    <row r="22">
      <c r="A22" s="15"/>
      <c r="B22" s="12" t="s">
        <v>17</v>
      </c>
      <c r="C22" s="16">
        <v>0.0</v>
      </c>
      <c r="D22" s="12">
        <v>0.0</v>
      </c>
      <c r="E22" s="12">
        <f t="shared" si="1"/>
        <v>0</v>
      </c>
      <c r="F22" s="12">
        <v>0.0</v>
      </c>
      <c r="G22" s="12">
        <v>0.0</v>
      </c>
      <c r="H22" s="12">
        <f t="shared" si="2"/>
        <v>0</v>
      </c>
      <c r="I22" s="12">
        <f t="shared" si="4"/>
        <v>0</v>
      </c>
      <c r="J22" s="17">
        <f t="shared" si="5"/>
        <v>0</v>
      </c>
      <c r="K22" s="12">
        <f t="shared" si="6"/>
        <v>0</v>
      </c>
      <c r="L22" s="19">
        <f t="shared" si="7"/>
        <v>0</v>
      </c>
      <c r="M22" s="4"/>
      <c r="N22" s="4"/>
      <c r="O22" s="4"/>
      <c r="P22" s="4"/>
    </row>
    <row r="23">
      <c r="A23" s="15"/>
      <c r="B23" s="12" t="s">
        <v>17</v>
      </c>
      <c r="C23" s="16">
        <v>0.0</v>
      </c>
      <c r="D23" s="12">
        <v>0.0</v>
      </c>
      <c r="E23" s="12">
        <f t="shared" si="1"/>
        <v>0</v>
      </c>
      <c r="F23" s="12">
        <v>0.0</v>
      </c>
      <c r="G23" s="12">
        <v>0.0</v>
      </c>
      <c r="H23" s="12">
        <f t="shared" si="2"/>
        <v>0</v>
      </c>
      <c r="I23" s="12">
        <f t="shared" si="4"/>
        <v>0</v>
      </c>
      <c r="J23" s="17">
        <f t="shared" si="5"/>
        <v>0</v>
      </c>
      <c r="K23" s="12">
        <f t="shared" si="6"/>
        <v>0</v>
      </c>
      <c r="L23" s="19">
        <f t="shared" si="7"/>
        <v>0</v>
      </c>
      <c r="M23" s="4"/>
      <c r="N23" s="4"/>
      <c r="O23" s="4"/>
      <c r="P23" s="4"/>
    </row>
    <row r="24">
      <c r="A24" s="15"/>
      <c r="B24" s="12" t="s">
        <v>17</v>
      </c>
      <c r="C24" s="16">
        <v>0.0</v>
      </c>
      <c r="D24" s="12">
        <v>0.0</v>
      </c>
      <c r="E24" s="12">
        <f t="shared" si="1"/>
        <v>0</v>
      </c>
      <c r="F24" s="12">
        <v>0.0</v>
      </c>
      <c r="G24" s="12">
        <v>0.0</v>
      </c>
      <c r="H24" s="12">
        <f t="shared" si="2"/>
        <v>0</v>
      </c>
      <c r="I24" s="12">
        <f t="shared" si="4"/>
        <v>0</v>
      </c>
      <c r="J24" s="17">
        <f t="shared" si="5"/>
        <v>0</v>
      </c>
      <c r="K24" s="12">
        <f t="shared" si="6"/>
        <v>0</v>
      </c>
      <c r="L24" s="19">
        <f t="shared" si="7"/>
        <v>0</v>
      </c>
      <c r="M24" s="4"/>
      <c r="N24" s="4"/>
      <c r="O24" s="4"/>
      <c r="P24" s="4"/>
    </row>
    <row r="25">
      <c r="A25" s="15"/>
      <c r="B25" s="12" t="s">
        <v>17</v>
      </c>
      <c r="C25" s="16">
        <v>0.0</v>
      </c>
      <c r="D25" s="12">
        <v>0.0</v>
      </c>
      <c r="E25" s="12">
        <f t="shared" si="1"/>
        <v>0</v>
      </c>
      <c r="F25" s="12">
        <v>0.0</v>
      </c>
      <c r="G25" s="12">
        <v>0.0</v>
      </c>
      <c r="H25" s="12">
        <f t="shared" si="2"/>
        <v>0</v>
      </c>
      <c r="I25" s="12">
        <f t="shared" si="4"/>
        <v>0</v>
      </c>
      <c r="J25" s="17">
        <f t="shared" si="5"/>
        <v>0</v>
      </c>
      <c r="K25" s="12">
        <f t="shared" si="6"/>
        <v>0</v>
      </c>
      <c r="L25" s="19">
        <f t="shared" si="7"/>
        <v>0</v>
      </c>
      <c r="M25" s="4"/>
      <c r="N25" s="4"/>
      <c r="O25" s="4"/>
      <c r="P25" s="4"/>
    </row>
    <row r="26">
      <c r="A26" s="15"/>
      <c r="B26" s="12" t="s">
        <v>17</v>
      </c>
      <c r="C26" s="16">
        <v>0.0</v>
      </c>
      <c r="D26" s="12">
        <v>0.0</v>
      </c>
      <c r="E26" s="12">
        <f t="shared" si="1"/>
        <v>0</v>
      </c>
      <c r="F26" s="12">
        <v>0.0</v>
      </c>
      <c r="G26" s="12">
        <v>0.0</v>
      </c>
      <c r="H26" s="12">
        <f t="shared" si="2"/>
        <v>0</v>
      </c>
      <c r="I26" s="12">
        <f t="shared" si="4"/>
        <v>0</v>
      </c>
      <c r="J26" s="17">
        <f t="shared" si="5"/>
        <v>0</v>
      </c>
      <c r="K26" s="12">
        <f t="shared" si="6"/>
        <v>0</v>
      </c>
      <c r="L26" s="19">
        <f t="shared" si="7"/>
        <v>0</v>
      </c>
      <c r="M26" s="4"/>
      <c r="N26" s="4"/>
      <c r="O26" s="4"/>
      <c r="P26" s="4"/>
    </row>
    <row r="27">
      <c r="A27" s="15"/>
      <c r="B27" s="12" t="s">
        <v>17</v>
      </c>
      <c r="C27" s="16">
        <v>0.0</v>
      </c>
      <c r="D27" s="12">
        <v>0.0</v>
      </c>
      <c r="E27" s="12">
        <f t="shared" si="1"/>
        <v>0</v>
      </c>
      <c r="F27" s="12">
        <v>0.0</v>
      </c>
      <c r="G27" s="12">
        <v>0.0</v>
      </c>
      <c r="H27" s="12">
        <f t="shared" si="2"/>
        <v>0</v>
      </c>
      <c r="I27" s="12">
        <f t="shared" si="4"/>
        <v>0</v>
      </c>
      <c r="J27" s="17">
        <f t="shared" si="5"/>
        <v>0</v>
      </c>
      <c r="K27" s="12">
        <f t="shared" si="6"/>
        <v>0</v>
      </c>
      <c r="L27" s="19">
        <f t="shared" si="7"/>
        <v>0</v>
      </c>
      <c r="M27" s="4"/>
      <c r="N27" s="4"/>
      <c r="O27" s="4"/>
      <c r="P27" s="4"/>
    </row>
    <row r="28">
      <c r="A28" s="15"/>
      <c r="B28" s="12" t="s">
        <v>17</v>
      </c>
      <c r="C28" s="16">
        <v>0.0</v>
      </c>
      <c r="D28" s="12">
        <v>0.0</v>
      </c>
      <c r="E28" s="12">
        <f t="shared" si="1"/>
        <v>0</v>
      </c>
      <c r="F28" s="12">
        <v>0.0</v>
      </c>
      <c r="G28" s="12">
        <v>0.0</v>
      </c>
      <c r="H28" s="12">
        <f t="shared" si="2"/>
        <v>0</v>
      </c>
      <c r="I28" s="12">
        <f t="shared" si="4"/>
        <v>0</v>
      </c>
      <c r="J28" s="17">
        <f t="shared" si="5"/>
        <v>0</v>
      </c>
      <c r="K28" s="12">
        <f t="shared" si="6"/>
        <v>0</v>
      </c>
      <c r="L28" s="19">
        <f t="shared" si="7"/>
        <v>0</v>
      </c>
      <c r="M28" s="4"/>
      <c r="N28" s="4"/>
      <c r="O28" s="4"/>
      <c r="P28" s="4"/>
    </row>
    <row r="29">
      <c r="A29" s="15"/>
      <c r="B29" s="12" t="s">
        <v>17</v>
      </c>
      <c r="C29" s="16">
        <v>0.0</v>
      </c>
      <c r="D29" s="12">
        <v>0.0</v>
      </c>
      <c r="E29" s="12">
        <f t="shared" si="1"/>
        <v>0</v>
      </c>
      <c r="F29" s="12">
        <v>0.0</v>
      </c>
      <c r="G29" s="12">
        <v>0.0</v>
      </c>
      <c r="H29" s="12">
        <f t="shared" si="2"/>
        <v>0</v>
      </c>
      <c r="I29" s="12">
        <f t="shared" si="4"/>
        <v>0</v>
      </c>
      <c r="J29" s="17">
        <f t="shared" si="5"/>
        <v>0</v>
      </c>
      <c r="K29" s="12">
        <f t="shared" si="6"/>
        <v>0</v>
      </c>
      <c r="L29" s="19">
        <f t="shared" si="7"/>
        <v>0</v>
      </c>
      <c r="M29" s="4"/>
      <c r="N29" s="4"/>
      <c r="O29" s="4"/>
      <c r="P29" s="4"/>
    </row>
    <row r="30">
      <c r="A30" s="15"/>
      <c r="B30" s="12" t="s">
        <v>17</v>
      </c>
      <c r="C30" s="16">
        <v>0.0</v>
      </c>
      <c r="D30" s="12">
        <v>0.0</v>
      </c>
      <c r="E30" s="12">
        <f t="shared" si="1"/>
        <v>0</v>
      </c>
      <c r="F30" s="12">
        <v>0.0</v>
      </c>
      <c r="G30" s="12">
        <v>0.0</v>
      </c>
      <c r="H30" s="12">
        <f t="shared" si="2"/>
        <v>0</v>
      </c>
      <c r="I30" s="12">
        <f t="shared" si="4"/>
        <v>0</v>
      </c>
      <c r="J30" s="17">
        <f t="shared" si="5"/>
        <v>0</v>
      </c>
      <c r="K30" s="12">
        <f t="shared" si="6"/>
        <v>0</v>
      </c>
      <c r="L30" s="19">
        <f t="shared" si="7"/>
        <v>0</v>
      </c>
      <c r="M30" s="4"/>
      <c r="N30" s="4"/>
      <c r="O30" s="4"/>
      <c r="P30" s="4"/>
    </row>
    <row r="31">
      <c r="A31" s="15"/>
      <c r="B31" s="12" t="s">
        <v>17</v>
      </c>
      <c r="C31" s="16">
        <v>0.0</v>
      </c>
      <c r="D31" s="12">
        <v>0.0</v>
      </c>
      <c r="E31" s="12">
        <f t="shared" si="1"/>
        <v>0</v>
      </c>
      <c r="F31" s="12">
        <v>0.0</v>
      </c>
      <c r="G31" s="12">
        <v>0.0</v>
      </c>
      <c r="H31" s="12">
        <f t="shared" si="2"/>
        <v>0</v>
      </c>
      <c r="I31" s="12">
        <f t="shared" si="4"/>
        <v>0</v>
      </c>
      <c r="J31" s="17">
        <f t="shared" si="5"/>
        <v>0</v>
      </c>
      <c r="K31" s="12">
        <f t="shared" si="6"/>
        <v>0</v>
      </c>
      <c r="L31" s="19">
        <f t="shared" si="7"/>
        <v>0</v>
      </c>
      <c r="M31" s="4"/>
      <c r="N31" s="4"/>
      <c r="O31" s="4"/>
      <c r="P31" s="4"/>
    </row>
    <row r="32">
      <c r="A32" s="15"/>
      <c r="B32" s="12" t="s">
        <v>17</v>
      </c>
      <c r="C32" s="16">
        <v>0.0</v>
      </c>
      <c r="D32" s="12">
        <v>0.0</v>
      </c>
      <c r="E32" s="12">
        <f t="shared" si="1"/>
        <v>0</v>
      </c>
      <c r="F32" s="12">
        <v>0.0</v>
      </c>
      <c r="G32" s="12">
        <v>0.0</v>
      </c>
      <c r="H32" s="12">
        <f t="shared" si="2"/>
        <v>0</v>
      </c>
      <c r="I32" s="12">
        <f t="shared" si="4"/>
        <v>0</v>
      </c>
      <c r="J32" s="17">
        <f t="shared" si="5"/>
        <v>0</v>
      </c>
      <c r="K32" s="12">
        <f t="shared" si="6"/>
        <v>0</v>
      </c>
      <c r="L32" s="19">
        <f t="shared" si="7"/>
        <v>0</v>
      </c>
      <c r="M32" s="4"/>
      <c r="N32" s="4"/>
      <c r="O32" s="4"/>
      <c r="P32" s="4"/>
    </row>
    <row r="33">
      <c r="A33" s="15"/>
      <c r="B33" s="12" t="s">
        <v>17</v>
      </c>
      <c r="C33" s="16">
        <v>0.0</v>
      </c>
      <c r="D33" s="12">
        <v>0.0</v>
      </c>
      <c r="E33" s="12">
        <f t="shared" si="1"/>
        <v>0</v>
      </c>
      <c r="F33" s="12">
        <v>0.0</v>
      </c>
      <c r="G33" s="12">
        <v>0.0</v>
      </c>
      <c r="H33" s="12">
        <f t="shared" si="2"/>
        <v>0</v>
      </c>
      <c r="I33" s="12">
        <f t="shared" si="4"/>
        <v>0</v>
      </c>
      <c r="J33" s="17">
        <f t="shared" si="5"/>
        <v>0</v>
      </c>
      <c r="K33" s="12">
        <f t="shared" si="6"/>
        <v>0</v>
      </c>
      <c r="L33" s="19">
        <f t="shared" si="7"/>
        <v>0</v>
      </c>
      <c r="M33" s="4"/>
      <c r="N33" s="4"/>
      <c r="O33" s="4"/>
      <c r="P33" s="4"/>
    </row>
    <row r="34">
      <c r="A34" s="15"/>
      <c r="B34" s="12" t="s">
        <v>17</v>
      </c>
      <c r="C34" s="16">
        <v>0.0</v>
      </c>
      <c r="D34" s="12">
        <v>0.0</v>
      </c>
      <c r="E34" s="12">
        <f t="shared" si="1"/>
        <v>0</v>
      </c>
      <c r="F34" s="12">
        <v>0.0</v>
      </c>
      <c r="G34" s="12">
        <v>0.0</v>
      </c>
      <c r="H34" s="12">
        <f t="shared" si="2"/>
        <v>0</v>
      </c>
      <c r="I34" s="12">
        <f t="shared" si="4"/>
        <v>0</v>
      </c>
      <c r="J34" s="17">
        <f t="shared" si="5"/>
        <v>0</v>
      </c>
      <c r="K34" s="12">
        <f t="shared" si="6"/>
        <v>0</v>
      </c>
      <c r="L34" s="19">
        <f t="shared" si="7"/>
        <v>0</v>
      </c>
      <c r="M34" s="4"/>
      <c r="N34" s="4"/>
      <c r="O34" s="4"/>
      <c r="P34" s="4"/>
    </row>
    <row r="35">
      <c r="A35" s="15"/>
      <c r="B35" s="12" t="s">
        <v>17</v>
      </c>
      <c r="C35" s="16">
        <v>0.0</v>
      </c>
      <c r="D35" s="12">
        <v>0.0</v>
      </c>
      <c r="E35" s="12">
        <f t="shared" si="1"/>
        <v>0</v>
      </c>
      <c r="F35" s="12">
        <v>0.0</v>
      </c>
      <c r="G35" s="12">
        <v>0.0</v>
      </c>
      <c r="H35" s="12">
        <f t="shared" si="2"/>
        <v>0</v>
      </c>
      <c r="I35" s="12">
        <f t="shared" si="4"/>
        <v>0</v>
      </c>
      <c r="J35" s="17">
        <f t="shared" si="5"/>
        <v>0</v>
      </c>
      <c r="K35" s="12">
        <f t="shared" si="6"/>
        <v>0</v>
      </c>
      <c r="L35" s="19">
        <f t="shared" si="7"/>
        <v>0</v>
      </c>
      <c r="M35" s="4"/>
      <c r="N35" s="4"/>
      <c r="O35" s="4"/>
      <c r="P35" s="4"/>
    </row>
    <row r="36">
      <c r="A36" s="15"/>
      <c r="B36" s="12" t="s">
        <v>17</v>
      </c>
      <c r="C36" s="16">
        <v>0.0</v>
      </c>
      <c r="D36" s="12">
        <v>0.0</v>
      </c>
      <c r="E36" s="12">
        <f t="shared" si="1"/>
        <v>0</v>
      </c>
      <c r="F36" s="12">
        <v>0.0</v>
      </c>
      <c r="G36" s="12">
        <v>0.0</v>
      </c>
      <c r="H36" s="12">
        <f t="shared" si="2"/>
        <v>0</v>
      </c>
      <c r="I36" s="12">
        <f t="shared" si="4"/>
        <v>0</v>
      </c>
      <c r="J36" s="17">
        <f t="shared" si="5"/>
        <v>0</v>
      </c>
      <c r="K36" s="12">
        <f t="shared" si="6"/>
        <v>0</v>
      </c>
      <c r="L36" s="19">
        <f t="shared" si="7"/>
        <v>0</v>
      </c>
      <c r="M36" s="4"/>
      <c r="N36" s="4"/>
      <c r="O36" s="4"/>
      <c r="P36" s="4"/>
    </row>
    <row r="37">
      <c r="A37" s="15"/>
      <c r="B37" s="12" t="s">
        <v>17</v>
      </c>
      <c r="C37" s="16">
        <v>0.0</v>
      </c>
      <c r="D37" s="12">
        <v>0.0</v>
      </c>
      <c r="E37" s="12">
        <f t="shared" si="1"/>
        <v>0</v>
      </c>
      <c r="F37" s="12">
        <v>0.0</v>
      </c>
      <c r="G37" s="12">
        <v>0.0</v>
      </c>
      <c r="H37" s="12">
        <f t="shared" si="2"/>
        <v>0</v>
      </c>
      <c r="I37" s="12">
        <f t="shared" si="4"/>
        <v>0</v>
      </c>
      <c r="J37" s="17">
        <f t="shared" si="5"/>
        <v>0</v>
      </c>
      <c r="K37" s="12">
        <f t="shared" si="6"/>
        <v>0</v>
      </c>
      <c r="L37" s="19">
        <f t="shared" si="7"/>
        <v>0</v>
      </c>
      <c r="M37" s="4"/>
      <c r="N37" s="4"/>
      <c r="O37" s="4"/>
      <c r="P37" s="4"/>
    </row>
    <row r="38">
      <c r="A38" s="18"/>
      <c r="B38" s="12" t="s">
        <v>17</v>
      </c>
      <c r="C38" s="16">
        <v>0.0</v>
      </c>
      <c r="D38" s="12">
        <v>0.0</v>
      </c>
      <c r="E38" s="12">
        <f t="shared" si="1"/>
        <v>0</v>
      </c>
      <c r="F38" s="12">
        <v>0.0</v>
      </c>
      <c r="G38" s="12">
        <v>0.0</v>
      </c>
      <c r="H38" s="12">
        <f t="shared" si="2"/>
        <v>0</v>
      </c>
      <c r="I38" s="12">
        <f t="shared" si="4"/>
        <v>0</v>
      </c>
      <c r="J38" s="17">
        <f t="shared" si="5"/>
        <v>0</v>
      </c>
      <c r="K38" s="12">
        <f t="shared" si="6"/>
        <v>0</v>
      </c>
      <c r="L38" s="19">
        <f t="shared" si="7"/>
        <v>0</v>
      </c>
      <c r="M38" s="4"/>
      <c r="N38" s="4"/>
      <c r="O38" s="4"/>
      <c r="P38" s="4"/>
    </row>
    <row r="39">
      <c r="A39" s="18"/>
      <c r="B39" s="12" t="s">
        <v>17</v>
      </c>
      <c r="C39" s="16">
        <v>0.0</v>
      </c>
      <c r="D39" s="12">
        <v>0.0</v>
      </c>
      <c r="E39" s="12">
        <f t="shared" si="1"/>
        <v>0</v>
      </c>
      <c r="F39" s="12">
        <v>0.0</v>
      </c>
      <c r="G39" s="12">
        <v>0.0</v>
      </c>
      <c r="H39" s="12">
        <f t="shared" si="2"/>
        <v>0</v>
      </c>
      <c r="I39" s="12">
        <f t="shared" si="4"/>
        <v>0</v>
      </c>
      <c r="J39" s="17">
        <f t="shared" si="5"/>
        <v>0</v>
      </c>
      <c r="K39" s="12">
        <f t="shared" si="6"/>
        <v>0</v>
      </c>
      <c r="L39" s="19">
        <f t="shared" si="7"/>
        <v>0</v>
      </c>
      <c r="M39" s="4"/>
      <c r="N39" s="4"/>
      <c r="O39" s="4"/>
      <c r="P39" s="4"/>
    </row>
    <row r="40">
      <c r="A40" s="18"/>
      <c r="B40" s="12" t="s">
        <v>17</v>
      </c>
      <c r="C40" s="16">
        <v>0.0</v>
      </c>
      <c r="D40" s="12">
        <v>0.0</v>
      </c>
      <c r="E40" s="12">
        <f t="shared" si="1"/>
        <v>0</v>
      </c>
      <c r="F40" s="12">
        <v>0.0</v>
      </c>
      <c r="G40" s="12">
        <v>0.0</v>
      </c>
      <c r="H40" s="12">
        <f t="shared" si="2"/>
        <v>0</v>
      </c>
      <c r="I40" s="12">
        <f t="shared" si="4"/>
        <v>0</v>
      </c>
      <c r="J40" s="17">
        <f t="shared" si="5"/>
        <v>0</v>
      </c>
      <c r="K40" s="12">
        <f t="shared" si="6"/>
        <v>0</v>
      </c>
      <c r="L40" s="19">
        <f t="shared" si="7"/>
        <v>0</v>
      </c>
      <c r="M40" s="4"/>
      <c r="N40" s="4"/>
      <c r="O40" s="4"/>
      <c r="P40" s="4"/>
    </row>
    <row r="41">
      <c r="A41" s="21" t="s">
        <v>18</v>
      </c>
      <c r="B41" s="22"/>
      <c r="C41" s="23">
        <f>SUM(C7:C40)</f>
        <v>6640</v>
      </c>
      <c r="D41" s="24"/>
      <c r="E41" s="25">
        <f>SUM(E7:E40)</f>
        <v>89375.67</v>
      </c>
      <c r="F41" s="23">
        <f>SUM(F6:F40)</f>
        <v>3000</v>
      </c>
      <c r="G41" s="24"/>
      <c r="H41" s="25">
        <f>SUM(H7:H40)</f>
        <v>40500</v>
      </c>
      <c r="I41" s="26">
        <f>C41-F41</f>
        <v>3640</v>
      </c>
      <c r="J41" s="24"/>
      <c r="K41" s="25">
        <f>E41-H41</f>
        <v>48875.67</v>
      </c>
      <c r="L41" s="25">
        <f>SUM(L7:L40)</f>
        <v>276.1461631</v>
      </c>
      <c r="M41" s="27"/>
      <c r="N41" s="4"/>
      <c r="O41" s="4"/>
      <c r="P41" s="4"/>
    </row>
    <row r="42">
      <c r="A42" s="28" t="s">
        <v>13</v>
      </c>
      <c r="B42" s="29">
        <f>MAX(0,IF(I41=0,0,K41/I41))</f>
        <v>13.42738187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28" t="s">
        <v>19</v>
      </c>
      <c r="B43" s="29">
        <f>E41/C41</f>
        <v>13.46019127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28" t="s">
        <v>20</v>
      </c>
      <c r="B44" s="29">
        <f>IFERROR(__xludf.DUMMYFUNCTION("GOOGLEFINANCE(A2, ""price"")"),13.11)</f>
        <v>13.11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28" t="s">
        <v>21</v>
      </c>
      <c r="B45" s="30">
        <f>L41</f>
        <v>276.1461631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31" t="s">
        <v>22</v>
      </c>
      <c r="B46" s="30">
        <f>H41-E41+B44*I41</f>
        <v>-1155.27</v>
      </c>
    </row>
    <row r="47">
      <c r="A47" s="31" t="s">
        <v>23</v>
      </c>
      <c r="B47" s="32">
        <f>(B44-B43)/B43</f>
        <v>-0.02601681196</v>
      </c>
    </row>
    <row r="48">
      <c r="A48" s="33"/>
      <c r="B48" s="33"/>
      <c r="C48" s="33"/>
      <c r="D48" s="33"/>
      <c r="E48" s="33"/>
      <c r="F48" s="33"/>
    </row>
    <row r="49">
      <c r="A49" s="34"/>
      <c r="B49" s="35"/>
      <c r="C49" s="35"/>
      <c r="D49" s="35"/>
      <c r="E49" s="35"/>
      <c r="F49" s="35"/>
    </row>
  </sheetData>
  <mergeCells count="13">
    <mergeCell ref="A5:A6"/>
    <mergeCell ref="B5:B6"/>
    <mergeCell ref="C5:E5"/>
    <mergeCell ref="F5:H5"/>
    <mergeCell ref="I5:K5"/>
    <mergeCell ref="A41:B41"/>
    <mergeCell ref="A1:L1"/>
    <mergeCell ref="A2:B2"/>
    <mergeCell ref="C2:L2"/>
    <mergeCell ref="A3:B3"/>
    <mergeCell ref="C3:L3"/>
    <mergeCell ref="A4:B4"/>
    <mergeCell ref="C4:L4"/>
  </mergeCells>
  <conditionalFormatting sqref="B46:B47">
    <cfRule type="cellIs" dxfId="0" priority="1" operator="lessThan">
      <formula>0</formula>
    </cfRule>
  </conditionalFormatting>
  <conditionalFormatting sqref="B46:B47">
    <cfRule type="cellIs" dxfId="1" priority="2" operator="greaterThan">
      <formula>0</formula>
    </cfRule>
  </conditionalFormatting>
  <conditionalFormatting sqref="B47">
    <cfRule type="notContainsBlanks" dxfId="2" priority="3">
      <formula>LEN(TRIM(B47))&gt;0</formula>
    </cfRule>
  </conditionalFormatting>
  <dataValidations>
    <dataValidation type="list" allowBlank="1" showErrorMessage="1" sqref="B7">
      <formula1>"ALIŞ,SATIŞ"</formula1>
    </dataValidation>
    <dataValidation type="list" allowBlank="1" showErrorMessage="1" sqref="B8:B40">
      <formula1>"İŞLEM TÜRÜ,ALIŞ,SATIŞ"</formula1>
    </dataValidation>
    <dataValidation type="decimal" operator="lessThan" allowBlank="1" showDropDown="1" showInputMessage="1" prompt="10000000 değerinden küçük bir sayı girin" sqref="C7:C40">
      <formula1>1.0E7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